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kehilbrands/Documents/Studie/Thesis/dataset information/"/>
    </mc:Choice>
  </mc:AlternateContent>
  <xr:revisionPtr revIDLastSave="0" documentId="13_ncr:1_{FAFB6432-D19A-C443-935F-3034434BD050}" xr6:coauthVersionLast="47" xr6:coauthVersionMax="47" xr10:uidLastSave="{00000000-0000-0000-0000-000000000000}"/>
  <bookViews>
    <workbookView xWindow="1100" yWindow="820" windowWidth="28040" windowHeight="17440" xr2:uid="{B1AAE110-6AF2-834C-9804-2F2ED4466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/>
  <c r="C134" i="1"/>
  <c r="C130" i="1"/>
  <c r="C124" i="1"/>
  <c r="C117" i="1"/>
  <c r="C107" i="1"/>
  <c r="C102" i="1"/>
  <c r="C97" i="1"/>
  <c r="C83" i="1"/>
  <c r="C76" i="1"/>
  <c r="C67" i="1"/>
  <c r="C57" i="1"/>
  <c r="C38" i="1"/>
  <c r="C7" i="1"/>
</calcChain>
</file>

<file path=xl/sharedStrings.xml><?xml version="1.0" encoding="utf-8"?>
<sst xmlns="http://schemas.openxmlformats.org/spreadsheetml/2006/main" count="224" uniqueCount="149">
  <si>
    <t>Variabelenaam</t>
  </si>
  <si>
    <t>recs: Soort regio </t>
  </si>
  <si>
    <t>X</t>
  </si>
  <si>
    <t>gwb_code: Codering </t>
  </si>
  <si>
    <t>ind_wbi: Indelingswijziging wijken en buurten </t>
  </si>
  <si>
    <t>Bevolking</t>
  </si>
  <si>
    <t>a_inw: Aantal inwoners </t>
  </si>
  <si>
    <t>a_man: Mannen </t>
  </si>
  <si>
    <t>a_vrouw: Vrouwen </t>
  </si>
  <si>
    <t>a_00_14: 0 tot 15 jaar </t>
  </si>
  <si>
    <t>a_15_24: 15 tot 25 jaar </t>
  </si>
  <si>
    <t>a_25_44: 25 tot 45 jaar </t>
  </si>
  <si>
    <t>a_45_64: 45 tot 65 jaar </t>
  </si>
  <si>
    <t>a_65_oo: 65 jaar of ouder </t>
  </si>
  <si>
    <t>a_ongeh: Ongehuwd </t>
  </si>
  <si>
    <t>a_gehuwd: Gehuwd </t>
  </si>
  <si>
    <t>a_gesch: Gescheiden </t>
  </si>
  <si>
    <t>a_verwed: Verweduwd </t>
  </si>
  <si>
    <t>a_nl_all: Nederland </t>
  </si>
  <si>
    <t>a_eur_al: Europa (exclusief Nederland) </t>
  </si>
  <si>
    <t>a_neu_al: Buiten Europa </t>
  </si>
  <si>
    <t>a_geb_nl: Nederland </t>
  </si>
  <si>
    <t>a_geb_eu: Europa (exclusief Nederland) </t>
  </si>
  <si>
    <t>a_geb_ne: Buiten Europa </t>
  </si>
  <si>
    <t>a_gebl_eu: Europa (exclusief Nederland) </t>
  </si>
  <si>
    <t>a_gebl_ne: Buiten Europa </t>
  </si>
  <si>
    <t>a_geb: Geboorte totaal </t>
  </si>
  <si>
    <t>p_geb: Geboorte relatief </t>
  </si>
  <si>
    <t>a_ste: Sterfte totaal </t>
  </si>
  <si>
    <t>p_ste: Sterfte relatief </t>
  </si>
  <si>
    <t>a_hh: Huishoudens totaal </t>
  </si>
  <si>
    <t>a_1p_hh: Eenpersoonshuishoudens </t>
  </si>
  <si>
    <t>a_hh_z_k: Huishoudens zonder kinderen </t>
  </si>
  <si>
    <t>a_hh_m_k: Huishoudens met kinderen </t>
  </si>
  <si>
    <t>g_hhgro: Gemiddelde huishoudensgrootte </t>
  </si>
  <si>
    <t>bev_dich: Bevolkingsdichtheid </t>
  </si>
  <si>
    <t>Wonen en vastgoed</t>
  </si>
  <si>
    <t>a_nb_won: Nieuwbouw woningen </t>
  </si>
  <si>
    <t>a_vastg: Niet-woningvoorraad </t>
  </si>
  <si>
    <t>a_nb_vastg: Nieuwbouw niet-woningen </t>
  </si>
  <si>
    <t>g_wozbag: Gemiddelde WOZ-waarde van woningen </t>
  </si>
  <si>
    <t>p_1gezw: Percentage eengezinswoning </t>
  </si>
  <si>
    <t>p_1gezw_tw: Percentage tussenwoning (eengezins) </t>
  </si>
  <si>
    <t>p_1gezw_hw: Percentage hoekwoning (eengezins) </t>
  </si>
  <si>
    <t>p_1gezw_2w: Percentage twee-onder-één-kap-woning (eengezins) </t>
  </si>
  <si>
    <t>p_1gezw_vw: Percentage vrijstaande woning (eengezins) </t>
  </si>
  <si>
    <t>p_mgezw: Percentage meergezinswoning </t>
  </si>
  <si>
    <t>p_leegsw: Percentage onbewoond </t>
  </si>
  <si>
    <t>p_koopw: Koopwoningen </t>
  </si>
  <si>
    <t>p_huurw: Huurwoningen totaal </t>
  </si>
  <si>
    <t>p_wcorpw: In bezit woningcorporatie </t>
  </si>
  <si>
    <t>p_ov_hw: In bezit overige verhuurders </t>
  </si>
  <si>
    <t>p_bj_me10: Bouwjaar meer dan tien jaar geleden </t>
  </si>
  <si>
    <t>p_bj_mi10: Bouwjaar afgelopen tien jaar </t>
  </si>
  <si>
    <t>Energie</t>
  </si>
  <si>
    <t>g_ele: Gemiddelde elektriciteitslevering </t>
  </si>
  <si>
    <t>g_ele_tr: Gemiddelde elektriciteitsteruglevering </t>
  </si>
  <si>
    <t>g_gas: Gemiddeld aardgasverbruik </t>
  </si>
  <si>
    <t>p_stadsv: Percentage woningen met stadsverwarming </t>
  </si>
  <si>
    <t>p_won_z_ag: Percentage aardgasvrije woningen </t>
  </si>
  <si>
    <t>p_won_m_ag: Percentage aardgaswoningen </t>
  </si>
  <si>
    <t>a_lp_pub: Aantal publieke laadpalen</t>
  </si>
  <si>
    <t>Onderwijs</t>
  </si>
  <si>
    <t>a_ons_po: Leerlingen po </t>
  </si>
  <si>
    <t>a_ons_vovavo: Leerlingen vo (incl. vavo) </t>
  </si>
  <si>
    <t>a_ons_mbo: Studenten mbo (excl. extranei) </t>
  </si>
  <si>
    <t>a_ons_wo: Studenten wo </t>
  </si>
  <si>
    <t>a_opl_bvm: Basisonderwijs, vmbo, mbo1</t>
  </si>
  <si>
    <t>a_opl_hvm: Havo, vwo, mbo2-4</t>
  </si>
  <si>
    <t>a_opl_hw: Hbo, wo</t>
  </si>
  <si>
    <t>Arbeid</t>
  </si>
  <si>
    <t>a_arb_wz: Werkzame beroepsbevolking</t>
  </si>
  <si>
    <t>p_arb_pp: Netto arbeidsparticipatie</t>
  </si>
  <si>
    <t>p_arb_wn: Percentage werknemers</t>
  </si>
  <si>
    <t>p_arb_wnv: Werknemers met vaste arbeidsrelatie</t>
  </si>
  <si>
    <t>p_arb_wnf: Werknemers met flexibele arbeidsrelatie</t>
  </si>
  <si>
    <t>p_arb_zs: Percentage zelfstandigen</t>
  </si>
  <si>
    <t>Inkomen</t>
  </si>
  <si>
    <t>a_inkont: Aantal inkomensontvangers</t>
  </si>
  <si>
    <t>g_ink_po: Gemiddeld inkomen per inkomensontvanger</t>
  </si>
  <si>
    <t>g_ink_pi: Gemiddeld inkomen per inwoner</t>
  </si>
  <si>
    <t>p_ink_li: 40% personen met laagste inkomen</t>
  </si>
  <si>
    <t>p_ink_hi: 20% personen met hoogste inkomen</t>
  </si>
  <si>
    <t>g_hh_sti: Gem. gestandaardiseerd inkomen van huish</t>
  </si>
  <si>
    <t>p_hh_li: 40% huishoudens met laagste inkomen</t>
  </si>
  <si>
    <t>p_hh_hi: 20% huishoudens met hoogste inkomen</t>
  </si>
  <si>
    <t>p_hh_lkk: Huishoudens met een laag inkomen</t>
  </si>
  <si>
    <t>p_hh_osm: Huish. onder of rond sociaal minimum</t>
  </si>
  <si>
    <t>p_hh_110: Huishoudens tot 110% van sociaal minimum</t>
  </si>
  <si>
    <t>p_hh_120: Huishoudens tot 120% van sociaal minimum</t>
  </si>
  <si>
    <t>m_hh_ver: Mediaan vermogen van particuliere huish.</t>
  </si>
  <si>
    <t>Sociale zekerheid</t>
  </si>
  <si>
    <t>a_soz_wb: Personen per soort uitkering; Bijstand </t>
  </si>
  <si>
    <t>a_soz_ao: Personen per soort uitkering; AO </t>
  </si>
  <si>
    <t>a_soz_ww: Personen per soort uitkering; WW </t>
  </si>
  <si>
    <t>a_soz_ow: Personen per soort uitkering; AOW </t>
  </si>
  <si>
    <t>Zorg</t>
  </si>
  <si>
    <t>a_jz_tn: Aantal jongeren met jeugdzorg in natura</t>
  </si>
  <si>
    <t>p_jz_tn: Percentage jongeren met jeugdzorg in natura</t>
  </si>
  <si>
    <t>a_wmo_t: Aantal Wmo-cliënten</t>
  </si>
  <si>
    <t>p_wmo_t: Aantal Wmo-cliënten per 1000 inwoners</t>
  </si>
  <si>
    <t>Bedrijfsvestigingen, SBI 2008</t>
  </si>
  <si>
    <t>a_bedv: Bedrijfsvestigingen totaal </t>
  </si>
  <si>
    <t>a_bed_a: A Landbouw, bosbouw en visserij </t>
  </si>
  <si>
    <t>a_bed_bf: B-F Nijverheid en energie </t>
  </si>
  <si>
    <t>a_bed_gi: G+I Handel en horeca </t>
  </si>
  <si>
    <t>a_bed_hj: H+J Vervoer, informatie en communicatie </t>
  </si>
  <si>
    <t>a_bed_kl: K-L Financiële diensten, onroerend goed </t>
  </si>
  <si>
    <t>a_bed_mn: M-N Zakelijke dienstverlening </t>
  </si>
  <si>
    <t>a_bed_oq: O-Q Overheid, onderwijs en zorg </t>
  </si>
  <si>
    <t>a_bed_ru: R-U Cultuur, recreatie, overige diensten </t>
  </si>
  <si>
    <t>Motorvoertuigen</t>
  </si>
  <si>
    <t>a_pau: Personenauto's totaal </t>
  </si>
  <si>
    <t>a_bst_b: Personenauto's; brandstof benzine </t>
  </si>
  <si>
    <t>a_bst_nb: Personenauto's; overige brandstof </t>
  </si>
  <si>
    <t>g_pau_hh: Personenauto's per huishouden </t>
  </si>
  <si>
    <t>g_pau_km: Personenauto's naar oppervlakte </t>
  </si>
  <si>
    <t>a_m2w: Motorfietsen </t>
  </si>
  <si>
    <t>Voorzieningen</t>
  </si>
  <si>
    <t>g_afs_hp: Afstand tot huisartsenpraktijk; afstand </t>
  </si>
  <si>
    <t>g_afs_gs: Afstand tot grote supermarkt </t>
  </si>
  <si>
    <t>g_afs_kv: Afstand tot kinderdagverblijf </t>
  </si>
  <si>
    <t>g_afs_sc: Afstand tot school </t>
  </si>
  <si>
    <t>g_3km_sc: Scholen binnen 3 km </t>
  </si>
  <si>
    <t>Oppervlakte</t>
  </si>
  <si>
    <t>a_opp_ha: Oppervlakte totaal </t>
  </si>
  <si>
    <t>a_lan_ha: Oppervlakte land </t>
  </si>
  <si>
    <t>a_wat_ha: Oppervlakte water </t>
  </si>
  <si>
    <t>Postcode</t>
  </si>
  <si>
    <t>Stedelijkheid</t>
  </si>
  <si>
    <t>Missing percentage</t>
  </si>
  <si>
    <t>ste_mvs: Mate van stedelijkheid</t>
  </si>
  <si>
    <t>ste_oad: Omgevingsadressendichtheid</t>
  </si>
  <si>
    <t>pst_dekp: Dekkingspercentage</t>
  </si>
  <si>
    <t>pst_mvp: Meest voorkomende postcode</t>
  </si>
  <si>
    <t>a_bedv</t>
  </si>
  <si>
    <t>Selection for spatial features</t>
  </si>
  <si>
    <t>gm_naam: Gemeentenaam</t>
  </si>
  <si>
    <t>regio: Regioaanduiding</t>
  </si>
  <si>
    <t>a_woning: Woningvoorraad</t>
  </si>
  <si>
    <t>p_won_ev: Percentage woningen hoofdz. elektr. Verwarmd</t>
  </si>
  <si>
    <t>p_won_zs: Percentage woningen met zonnestroom</t>
  </si>
  <si>
    <t>a_ons_hbo: Studenten hbo</t>
  </si>
  <si>
    <t>a_inw</t>
  </si>
  <si>
    <t>a_woning</t>
  </si>
  <si>
    <t>a_pau</t>
  </si>
  <si>
    <t>a_opp_ha</t>
  </si>
  <si>
    <t>a_ll</t>
  </si>
  <si>
    <t>a_ll: Totaal leerlingen en studenten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</si>
</sst>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b/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6"/>
      <color rgb="FF000000"/>
      <name val="Helvetica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2" fillId="0" borderId="0" xfId="0" applyNumberFormat="1" applyFont="1"/>
    <xf numFmtId="10" fontId="0" fillId="0" borderId="0" xfId="1" applyNumberFormat="1" applyFont="1"/>
    <xf numFmtId="10" fontId="8" fillId="0" borderId="0" xfId="1" applyNumberFormat="1" applyFont="1"/>
    <xf numFmtId="10" fontId="6" fillId="0" borderId="0" xfId="1" applyNumberFormat="1" applyFont="1"/>
    <xf numFmtId="0" fontId="3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D586-3C0E-A245-A536-319D6F2F5747}">
  <dimension ref="A1:G140"/>
  <sheetViews>
    <sheetView tabSelected="1" zoomScale="116" workbookViewId="0">
      <selection activeCell="F15" sqref="F15"/>
    </sheetView>
  </sheetViews>
  <sheetFormatPr baseColWidth="10" defaultRowHeight="16" x14ac:dyDescent="0.2"/>
  <cols>
    <col min="1" max="1" width="76.83203125" customWidth="1"/>
    <col min="2" max="2" width="4.5" customWidth="1"/>
    <col min="3" max="3" width="18.5" style="9" customWidth="1"/>
    <col min="5" max="5" width="18.5" customWidth="1"/>
  </cols>
  <sheetData>
    <row r="1" spans="1:7" s="4" customFormat="1" x14ac:dyDescent="0.2">
      <c r="A1" s="2" t="s">
        <v>0</v>
      </c>
      <c r="B1" s="2"/>
      <c r="C1" s="8" t="s">
        <v>130</v>
      </c>
      <c r="E1" s="4" t="s">
        <v>130</v>
      </c>
      <c r="F1" s="4" t="s">
        <v>136</v>
      </c>
    </row>
    <row r="2" spans="1:7" x14ac:dyDescent="0.2">
      <c r="A2" s="1" t="s">
        <v>138</v>
      </c>
      <c r="B2" t="s">
        <v>2</v>
      </c>
      <c r="C2" s="9">
        <v>0</v>
      </c>
      <c r="E2" s="13">
        <v>0</v>
      </c>
      <c r="F2" t="s">
        <v>143</v>
      </c>
      <c r="G2" s="1" t="s">
        <v>6</v>
      </c>
    </row>
    <row r="3" spans="1:7" x14ac:dyDescent="0.2">
      <c r="A3" s="1" t="s">
        <v>137</v>
      </c>
      <c r="B3" s="1" t="s">
        <v>2</v>
      </c>
      <c r="C3" s="9">
        <v>0</v>
      </c>
      <c r="E3" s="13">
        <v>0</v>
      </c>
      <c r="F3" t="s">
        <v>144</v>
      </c>
      <c r="G3" s="1" t="s">
        <v>139</v>
      </c>
    </row>
    <row r="4" spans="1:7" x14ac:dyDescent="0.2">
      <c r="A4" s="1" t="s">
        <v>1</v>
      </c>
      <c r="B4" s="1" t="s">
        <v>2</v>
      </c>
      <c r="C4" s="9">
        <v>0</v>
      </c>
      <c r="E4" s="13">
        <v>0</v>
      </c>
      <c r="F4" t="s">
        <v>147</v>
      </c>
      <c r="G4" s="1" t="s">
        <v>148</v>
      </c>
    </row>
    <row r="5" spans="1:7" x14ac:dyDescent="0.2">
      <c r="A5" s="1" t="s">
        <v>3</v>
      </c>
      <c r="B5" s="1" t="s">
        <v>2</v>
      </c>
      <c r="C5" s="9">
        <v>0</v>
      </c>
      <c r="E5" s="13">
        <v>0</v>
      </c>
      <c r="F5" t="s">
        <v>135</v>
      </c>
      <c r="G5" s="1" t="s">
        <v>102</v>
      </c>
    </row>
    <row r="6" spans="1:7" x14ac:dyDescent="0.2">
      <c r="A6" s="1" t="s">
        <v>4</v>
      </c>
      <c r="B6" s="1" t="s">
        <v>2</v>
      </c>
      <c r="C6" s="9">
        <v>0</v>
      </c>
      <c r="E6" s="13">
        <v>0</v>
      </c>
      <c r="F6" t="s">
        <v>145</v>
      </c>
      <c r="G6" s="1" t="s">
        <v>112</v>
      </c>
    </row>
    <row r="7" spans="1:7" s="6" customFormat="1" ht="22" x14ac:dyDescent="0.3">
      <c r="A7" s="7" t="s">
        <v>5</v>
      </c>
      <c r="C7" s="10">
        <f>AVERAGE(C8:C37)</f>
        <v>2.6633333333333331E-3</v>
      </c>
      <c r="E7" s="13">
        <v>0</v>
      </c>
      <c r="F7" t="s">
        <v>146</v>
      </c>
      <c r="G7" s="1" t="s">
        <v>125</v>
      </c>
    </row>
    <row r="8" spans="1:7" x14ac:dyDescent="0.2">
      <c r="A8" s="1" t="s">
        <v>6</v>
      </c>
      <c r="B8" s="1" t="s">
        <v>2</v>
      </c>
      <c r="C8" s="9">
        <v>0</v>
      </c>
    </row>
    <row r="9" spans="1:7" x14ac:dyDescent="0.2">
      <c r="A9" s="1" t="s">
        <v>7</v>
      </c>
      <c r="B9" s="1" t="s">
        <v>2</v>
      </c>
      <c r="C9" s="9">
        <v>0</v>
      </c>
      <c r="E9" s="9"/>
      <c r="G9" s="1"/>
    </row>
    <row r="10" spans="1:7" x14ac:dyDescent="0.2">
      <c r="A10" s="1" t="s">
        <v>8</v>
      </c>
      <c r="B10" s="1" t="s">
        <v>2</v>
      </c>
      <c r="C10" s="9">
        <v>0</v>
      </c>
      <c r="G10" s="1"/>
    </row>
    <row r="11" spans="1:7" x14ac:dyDescent="0.2">
      <c r="A11" s="1" t="s">
        <v>9</v>
      </c>
      <c r="B11" s="1" t="s">
        <v>2</v>
      </c>
      <c r="C11" s="9">
        <v>0</v>
      </c>
      <c r="E11" s="9"/>
      <c r="G11" s="3"/>
    </row>
    <row r="12" spans="1:7" x14ac:dyDescent="0.2">
      <c r="A12" s="1" t="s">
        <v>10</v>
      </c>
      <c r="B12" s="1" t="s">
        <v>2</v>
      </c>
      <c r="C12" s="9">
        <v>0</v>
      </c>
    </row>
    <row r="13" spans="1:7" x14ac:dyDescent="0.2">
      <c r="A13" s="1" t="s">
        <v>11</v>
      </c>
      <c r="B13" s="1" t="s">
        <v>2</v>
      </c>
      <c r="C13" s="9">
        <v>0</v>
      </c>
    </row>
    <row r="14" spans="1:7" x14ac:dyDescent="0.2">
      <c r="A14" s="1" t="s">
        <v>12</v>
      </c>
      <c r="B14" s="1" t="s">
        <v>2</v>
      </c>
      <c r="C14" s="9">
        <v>0</v>
      </c>
    </row>
    <row r="15" spans="1:7" x14ac:dyDescent="0.2">
      <c r="A15" s="1" t="s">
        <v>13</v>
      </c>
      <c r="B15" s="1" t="s">
        <v>2</v>
      </c>
      <c r="C15" s="9">
        <v>0</v>
      </c>
    </row>
    <row r="16" spans="1:7" x14ac:dyDescent="0.2">
      <c r="A16" s="1" t="s">
        <v>14</v>
      </c>
      <c r="B16" s="1" t="s">
        <v>2</v>
      </c>
      <c r="C16" s="9">
        <v>0</v>
      </c>
    </row>
    <row r="17" spans="1:7" x14ac:dyDescent="0.2">
      <c r="A17" s="1" t="s">
        <v>15</v>
      </c>
      <c r="B17" s="1" t="s">
        <v>2</v>
      </c>
      <c r="C17" s="9">
        <v>0</v>
      </c>
    </row>
    <row r="18" spans="1:7" x14ac:dyDescent="0.2">
      <c r="A18" s="1" t="s">
        <v>16</v>
      </c>
      <c r="B18" s="1" t="s">
        <v>2</v>
      </c>
      <c r="C18" s="9">
        <v>0</v>
      </c>
    </row>
    <row r="19" spans="1:7" x14ac:dyDescent="0.2">
      <c r="A19" s="1" t="s">
        <v>17</v>
      </c>
      <c r="B19" s="1" t="s">
        <v>2</v>
      </c>
      <c r="C19" s="9">
        <v>0</v>
      </c>
    </row>
    <row r="20" spans="1:7" x14ac:dyDescent="0.2">
      <c r="A20" s="1" t="s">
        <v>18</v>
      </c>
      <c r="B20" s="1" t="s">
        <v>2</v>
      </c>
      <c r="C20" s="9">
        <v>0</v>
      </c>
    </row>
    <row r="21" spans="1:7" x14ac:dyDescent="0.2">
      <c r="A21" s="1" t="s">
        <v>19</v>
      </c>
      <c r="B21" s="1" t="s">
        <v>2</v>
      </c>
      <c r="C21" s="9">
        <v>0</v>
      </c>
    </row>
    <row r="22" spans="1:7" x14ac:dyDescent="0.2">
      <c r="A22" s="1" t="s">
        <v>20</v>
      </c>
      <c r="B22" s="1" t="s">
        <v>2</v>
      </c>
      <c r="C22" s="9">
        <v>0</v>
      </c>
      <c r="E22" s="13"/>
    </row>
    <row r="23" spans="1:7" x14ac:dyDescent="0.2">
      <c r="A23" s="1" t="s">
        <v>21</v>
      </c>
      <c r="B23" s="1" t="s">
        <v>2</v>
      </c>
      <c r="C23" s="9">
        <v>0</v>
      </c>
      <c r="E23" s="13"/>
      <c r="G23" s="3"/>
    </row>
    <row r="24" spans="1:7" x14ac:dyDescent="0.2">
      <c r="A24" s="1" t="s">
        <v>22</v>
      </c>
      <c r="B24" s="1" t="s">
        <v>2</v>
      </c>
      <c r="C24" s="9">
        <v>0</v>
      </c>
    </row>
    <row r="25" spans="1:7" x14ac:dyDescent="0.2">
      <c r="A25" s="1" t="s">
        <v>23</v>
      </c>
      <c r="B25" s="1" t="s">
        <v>2</v>
      </c>
      <c r="C25" s="9">
        <v>0</v>
      </c>
    </row>
    <row r="26" spans="1:7" x14ac:dyDescent="0.2">
      <c r="A26" s="1" t="s">
        <v>24</v>
      </c>
      <c r="B26" s="1" t="s">
        <v>2</v>
      </c>
      <c r="C26" s="9">
        <v>0</v>
      </c>
    </row>
    <row r="27" spans="1:7" x14ac:dyDescent="0.2">
      <c r="A27" s="1" t="s">
        <v>25</v>
      </c>
      <c r="B27" s="1" t="s">
        <v>2</v>
      </c>
      <c r="C27" s="9">
        <v>0</v>
      </c>
    </row>
    <row r="28" spans="1:7" x14ac:dyDescent="0.2">
      <c r="A28" s="1" t="s">
        <v>26</v>
      </c>
      <c r="B28" s="1" t="s">
        <v>2</v>
      </c>
      <c r="C28" s="9">
        <v>0</v>
      </c>
    </row>
    <row r="29" spans="1:7" x14ac:dyDescent="0.2">
      <c r="A29" s="1" t="s">
        <v>27</v>
      </c>
      <c r="B29" s="1" t="s">
        <v>2</v>
      </c>
      <c r="C29" s="9">
        <v>2.0000000000000001E-4</v>
      </c>
    </row>
    <row r="30" spans="1:7" x14ac:dyDescent="0.2">
      <c r="A30" s="1" t="s">
        <v>28</v>
      </c>
      <c r="B30" s="1" t="s">
        <v>2</v>
      </c>
      <c r="C30" s="9">
        <v>0</v>
      </c>
    </row>
    <row r="31" spans="1:7" x14ac:dyDescent="0.2">
      <c r="A31" s="1" t="s">
        <v>29</v>
      </c>
      <c r="B31" s="1" t="s">
        <v>2</v>
      </c>
      <c r="C31" s="9">
        <v>7.000000000000001E-4</v>
      </c>
    </row>
    <row r="32" spans="1:7" x14ac:dyDescent="0.2">
      <c r="A32" s="1" t="s">
        <v>30</v>
      </c>
      <c r="B32" s="1" t="s">
        <v>2</v>
      </c>
      <c r="C32" s="9">
        <v>0</v>
      </c>
    </row>
    <row r="33" spans="1:3" x14ac:dyDescent="0.2">
      <c r="A33" s="1" t="s">
        <v>31</v>
      </c>
      <c r="B33" s="1" t="s">
        <v>2</v>
      </c>
      <c r="C33" s="9">
        <v>0</v>
      </c>
    </row>
    <row r="34" spans="1:3" x14ac:dyDescent="0.2">
      <c r="A34" s="1" t="s">
        <v>32</v>
      </c>
      <c r="B34" s="1" t="s">
        <v>2</v>
      </c>
      <c r="C34" s="9">
        <v>0</v>
      </c>
    </row>
    <row r="35" spans="1:3" x14ac:dyDescent="0.2">
      <c r="A35" s="1" t="s">
        <v>33</v>
      </c>
      <c r="B35" s="1" t="s">
        <v>2</v>
      </c>
      <c r="C35" s="9">
        <v>0</v>
      </c>
    </row>
    <row r="36" spans="1:3" x14ac:dyDescent="0.2">
      <c r="A36" s="1" t="s">
        <v>34</v>
      </c>
      <c r="B36" s="1" t="s">
        <v>2</v>
      </c>
      <c r="C36" s="9">
        <v>2.7799999999999998E-2</v>
      </c>
    </row>
    <row r="37" spans="1:3" x14ac:dyDescent="0.2">
      <c r="A37" s="1" t="s">
        <v>35</v>
      </c>
      <c r="B37" s="1" t="s">
        <v>2</v>
      </c>
      <c r="C37" s="9">
        <v>5.1200000000000002E-2</v>
      </c>
    </row>
    <row r="38" spans="1:3" s="6" customFormat="1" ht="22" x14ac:dyDescent="0.3">
      <c r="A38" s="7" t="s">
        <v>36</v>
      </c>
      <c r="B38" s="12" t="s">
        <v>2</v>
      </c>
      <c r="C38" s="10">
        <f>AVERAGE(C39:C56)</f>
        <v>8.9488888888888896E-2</v>
      </c>
    </row>
    <row r="39" spans="1:3" x14ac:dyDescent="0.2">
      <c r="A39" s="1" t="s">
        <v>139</v>
      </c>
      <c r="B39" s="12"/>
      <c r="C39" s="9">
        <v>0</v>
      </c>
    </row>
    <row r="40" spans="1:3" x14ac:dyDescent="0.2">
      <c r="A40" s="1" t="s">
        <v>37</v>
      </c>
      <c r="B40" s="1" t="s">
        <v>2</v>
      </c>
      <c r="C40" s="9">
        <v>0</v>
      </c>
    </row>
    <row r="41" spans="1:3" x14ac:dyDescent="0.2">
      <c r="A41" s="1" t="s">
        <v>38</v>
      </c>
      <c r="B41" s="1" t="s">
        <v>2</v>
      </c>
      <c r="C41" s="9">
        <v>0</v>
      </c>
    </row>
    <row r="42" spans="1:3" x14ac:dyDescent="0.2">
      <c r="A42" s="1" t="s">
        <v>39</v>
      </c>
      <c r="B42" s="1" t="s">
        <v>2</v>
      </c>
      <c r="C42" s="9">
        <v>0</v>
      </c>
    </row>
    <row r="43" spans="1:3" x14ac:dyDescent="0.2">
      <c r="A43" s="1" t="s">
        <v>40</v>
      </c>
      <c r="B43" s="1" t="s">
        <v>2</v>
      </c>
      <c r="C43" s="9">
        <v>0.1249</v>
      </c>
    </row>
    <row r="44" spans="1:3" x14ac:dyDescent="0.2">
      <c r="A44" s="1" t="s">
        <v>41</v>
      </c>
      <c r="B44" s="1" t="s">
        <v>2</v>
      </c>
      <c r="C44" s="9">
        <v>0.1143</v>
      </c>
    </row>
    <row r="45" spans="1:3" x14ac:dyDescent="0.2">
      <c r="A45" s="1" t="s">
        <v>42</v>
      </c>
      <c r="B45" s="1" t="s">
        <v>2</v>
      </c>
      <c r="C45" s="9">
        <v>0.1143</v>
      </c>
    </row>
    <row r="46" spans="1:3" x14ac:dyDescent="0.2">
      <c r="A46" s="1" t="s">
        <v>43</v>
      </c>
      <c r="B46" s="1" t="s">
        <v>2</v>
      </c>
      <c r="C46" s="9">
        <v>0.1143</v>
      </c>
    </row>
    <row r="47" spans="1:3" x14ac:dyDescent="0.2">
      <c r="A47" s="1" t="s">
        <v>44</v>
      </c>
      <c r="B47" s="1" t="s">
        <v>2</v>
      </c>
      <c r="C47" s="9">
        <v>0.1143</v>
      </c>
    </row>
    <row r="48" spans="1:3" x14ac:dyDescent="0.2">
      <c r="A48" s="1" t="s">
        <v>45</v>
      </c>
      <c r="B48" s="1" t="s">
        <v>2</v>
      </c>
      <c r="C48" s="9">
        <v>0.1143</v>
      </c>
    </row>
    <row r="49" spans="1:3" x14ac:dyDescent="0.2">
      <c r="A49" s="1" t="s">
        <v>46</v>
      </c>
      <c r="B49" s="1" t="s">
        <v>2</v>
      </c>
      <c r="C49" s="9">
        <v>0.1143</v>
      </c>
    </row>
    <row r="50" spans="1:3" x14ac:dyDescent="0.2">
      <c r="A50" s="1" t="s">
        <v>47</v>
      </c>
      <c r="B50" s="1" t="s">
        <v>2</v>
      </c>
      <c r="C50" s="9">
        <v>0.1143</v>
      </c>
    </row>
    <row r="51" spans="1:3" x14ac:dyDescent="0.2">
      <c r="A51" s="1" t="s">
        <v>48</v>
      </c>
      <c r="B51" s="1" t="s">
        <v>2</v>
      </c>
      <c r="C51" s="9">
        <v>0.1143</v>
      </c>
    </row>
    <row r="52" spans="1:3" x14ac:dyDescent="0.2">
      <c r="A52" s="1" t="s">
        <v>49</v>
      </c>
      <c r="B52" s="1" t="s">
        <v>2</v>
      </c>
      <c r="C52" s="9">
        <v>0.1143</v>
      </c>
    </row>
    <row r="53" spans="1:3" x14ac:dyDescent="0.2">
      <c r="A53" s="1" t="s">
        <v>50</v>
      </c>
      <c r="B53" s="1" t="s">
        <v>2</v>
      </c>
      <c r="C53" s="9">
        <v>0.1143</v>
      </c>
    </row>
    <row r="54" spans="1:3" x14ac:dyDescent="0.2">
      <c r="A54" s="1" t="s">
        <v>51</v>
      </c>
      <c r="B54" s="1" t="s">
        <v>2</v>
      </c>
      <c r="C54" s="9">
        <v>0.1143</v>
      </c>
    </row>
    <row r="55" spans="1:3" x14ac:dyDescent="0.2">
      <c r="A55" s="1" t="s">
        <v>52</v>
      </c>
      <c r="B55" s="1" t="s">
        <v>2</v>
      </c>
      <c r="C55" s="9">
        <v>0.1143</v>
      </c>
    </row>
    <row r="56" spans="1:3" x14ac:dyDescent="0.2">
      <c r="A56" s="1" t="s">
        <v>53</v>
      </c>
      <c r="B56" s="1" t="s">
        <v>2</v>
      </c>
      <c r="C56" s="9">
        <v>0.1143</v>
      </c>
    </row>
    <row r="57" spans="1:3" s="6" customFormat="1" ht="22" x14ac:dyDescent="0.3">
      <c r="A57" s="7" t="s">
        <v>54</v>
      </c>
      <c r="B57" s="7"/>
      <c r="C57" s="10">
        <f>AVERAGE(C58:C66)</f>
        <v>0.37005555555555553</v>
      </c>
    </row>
    <row r="58" spans="1:3" x14ac:dyDescent="0.2">
      <c r="A58" s="1" t="s">
        <v>55</v>
      </c>
      <c r="B58" s="1" t="s">
        <v>2</v>
      </c>
      <c r="C58" s="9">
        <v>6.6900000000000001E-2</v>
      </c>
    </row>
    <row r="59" spans="1:3" x14ac:dyDescent="0.2">
      <c r="A59" s="1" t="s">
        <v>56</v>
      </c>
      <c r="B59" s="1" t="s">
        <v>2</v>
      </c>
      <c r="C59" s="9">
        <v>6.6900000000000001E-2</v>
      </c>
    </row>
    <row r="60" spans="1:3" x14ac:dyDescent="0.2">
      <c r="A60" s="1" t="s">
        <v>57</v>
      </c>
      <c r="B60" s="1" t="s">
        <v>2</v>
      </c>
      <c r="C60" s="9">
        <v>7.0099999999999996E-2</v>
      </c>
    </row>
    <row r="61" spans="1:3" x14ac:dyDescent="0.2">
      <c r="A61" s="1" t="s">
        <v>58</v>
      </c>
      <c r="B61" s="1" t="s">
        <v>2</v>
      </c>
      <c r="C61" s="9">
        <v>0.92500000000000004</v>
      </c>
    </row>
    <row r="62" spans="1:3" x14ac:dyDescent="0.2">
      <c r="A62" s="1" t="s">
        <v>59</v>
      </c>
      <c r="B62" s="1" t="s">
        <v>2</v>
      </c>
      <c r="C62" s="9">
        <v>0.3004</v>
      </c>
    </row>
    <row r="63" spans="1:3" x14ac:dyDescent="0.2">
      <c r="A63" s="1" t="s">
        <v>60</v>
      </c>
      <c r="B63" s="1" t="s">
        <v>2</v>
      </c>
      <c r="C63" s="9">
        <v>0.3004</v>
      </c>
    </row>
    <row r="64" spans="1:3" x14ac:dyDescent="0.2">
      <c r="A64" s="1" t="s">
        <v>141</v>
      </c>
      <c r="B64" s="1" t="s">
        <v>2</v>
      </c>
      <c r="C64" s="9">
        <v>0.3004</v>
      </c>
    </row>
    <row r="65" spans="1:3" x14ac:dyDescent="0.2">
      <c r="A65" s="1" t="s">
        <v>140</v>
      </c>
      <c r="B65" s="1" t="s">
        <v>2</v>
      </c>
      <c r="C65" s="9">
        <v>0.3004</v>
      </c>
    </row>
    <row r="66" spans="1:3" x14ac:dyDescent="0.2">
      <c r="A66" s="1" t="s">
        <v>61</v>
      </c>
      <c r="C66" s="9">
        <v>1</v>
      </c>
    </row>
    <row r="67" spans="1:3" s="6" customFormat="1" ht="22" x14ac:dyDescent="0.3">
      <c r="A67" s="7" t="s">
        <v>62</v>
      </c>
      <c r="B67" s="7"/>
      <c r="C67" s="10">
        <f>AVERAGE(C68:C75)</f>
        <v>0.375</v>
      </c>
    </row>
    <row r="68" spans="1:3" x14ac:dyDescent="0.2">
      <c r="A68" s="1" t="s">
        <v>63</v>
      </c>
      <c r="B68" s="1" t="s">
        <v>2</v>
      </c>
      <c r="C68" s="9">
        <v>0</v>
      </c>
    </row>
    <row r="69" spans="1:3" x14ac:dyDescent="0.2">
      <c r="A69" s="1" t="s">
        <v>64</v>
      </c>
      <c r="B69" s="1" t="s">
        <v>2</v>
      </c>
      <c r="C69" s="9">
        <v>0</v>
      </c>
    </row>
    <row r="70" spans="1:3" x14ac:dyDescent="0.2">
      <c r="A70" s="1" t="s">
        <v>65</v>
      </c>
      <c r="B70" s="1" t="s">
        <v>2</v>
      </c>
      <c r="C70" s="9">
        <v>0</v>
      </c>
    </row>
    <row r="71" spans="1:3" x14ac:dyDescent="0.2">
      <c r="A71" s="1" t="s">
        <v>142</v>
      </c>
      <c r="B71" s="1" t="s">
        <v>2</v>
      </c>
      <c r="C71" s="9">
        <v>0</v>
      </c>
    </row>
    <row r="72" spans="1:3" x14ac:dyDescent="0.2">
      <c r="A72" s="1" t="s">
        <v>66</v>
      </c>
      <c r="B72" s="1" t="s">
        <v>2</v>
      </c>
      <c r="C72" s="9">
        <v>0</v>
      </c>
    </row>
    <row r="73" spans="1:3" x14ac:dyDescent="0.2">
      <c r="A73" s="1" t="s">
        <v>67</v>
      </c>
      <c r="B73" s="1"/>
      <c r="C73" s="9">
        <v>1</v>
      </c>
    </row>
    <row r="74" spans="1:3" x14ac:dyDescent="0.2">
      <c r="A74" s="1" t="s">
        <v>68</v>
      </c>
      <c r="B74" s="1"/>
      <c r="C74" s="9">
        <v>1</v>
      </c>
    </row>
    <row r="75" spans="1:3" x14ac:dyDescent="0.2">
      <c r="A75" s="1" t="s">
        <v>69</v>
      </c>
      <c r="B75" s="1"/>
      <c r="C75" s="9">
        <v>1</v>
      </c>
    </row>
    <row r="76" spans="1:3" s="6" customFormat="1" ht="22" x14ac:dyDescent="0.3">
      <c r="A76" s="7" t="s">
        <v>70</v>
      </c>
      <c r="C76" s="10">
        <f>AVERAGE(C77:C82)</f>
        <v>1</v>
      </c>
    </row>
    <row r="77" spans="1:3" x14ac:dyDescent="0.2">
      <c r="A77" s="1" t="s">
        <v>71</v>
      </c>
      <c r="B77" s="1"/>
      <c r="C77" s="9">
        <v>1</v>
      </c>
    </row>
    <row r="78" spans="1:3" x14ac:dyDescent="0.2">
      <c r="A78" s="1" t="s">
        <v>72</v>
      </c>
      <c r="B78" s="1"/>
      <c r="C78" s="9">
        <v>1</v>
      </c>
    </row>
    <row r="79" spans="1:3" x14ac:dyDescent="0.2">
      <c r="A79" s="1" t="s">
        <v>73</v>
      </c>
      <c r="B79" s="1"/>
      <c r="C79" s="9">
        <v>1</v>
      </c>
    </row>
    <row r="80" spans="1:3" x14ac:dyDescent="0.2">
      <c r="A80" s="1" t="s">
        <v>74</v>
      </c>
      <c r="C80" s="9">
        <v>1</v>
      </c>
    </row>
    <row r="81" spans="1:3" x14ac:dyDescent="0.2">
      <c r="A81" s="1" t="s">
        <v>75</v>
      </c>
      <c r="B81" s="1"/>
      <c r="C81" s="9">
        <v>1</v>
      </c>
    </row>
    <row r="82" spans="1:3" x14ac:dyDescent="0.2">
      <c r="A82" s="1" t="s">
        <v>76</v>
      </c>
      <c r="B82" s="1"/>
      <c r="C82" s="9">
        <v>1</v>
      </c>
    </row>
    <row r="83" spans="1:3" s="6" customFormat="1" ht="22" x14ac:dyDescent="0.3">
      <c r="A83" s="7" t="s">
        <v>77</v>
      </c>
      <c r="B83" s="7"/>
      <c r="C83" s="10">
        <f>AVERAGE(C84:C96)</f>
        <v>1</v>
      </c>
    </row>
    <row r="84" spans="1:3" x14ac:dyDescent="0.2">
      <c r="A84" s="1" t="s">
        <v>78</v>
      </c>
      <c r="B84" s="1"/>
      <c r="C84" s="9">
        <v>1</v>
      </c>
    </row>
    <row r="85" spans="1:3" x14ac:dyDescent="0.2">
      <c r="A85" s="1" t="s">
        <v>79</v>
      </c>
      <c r="B85" s="1"/>
      <c r="C85" s="9">
        <v>1</v>
      </c>
    </row>
    <row r="86" spans="1:3" x14ac:dyDescent="0.2">
      <c r="A86" s="1" t="s">
        <v>80</v>
      </c>
      <c r="B86" s="1"/>
      <c r="C86" s="9">
        <v>1</v>
      </c>
    </row>
    <row r="87" spans="1:3" x14ac:dyDescent="0.2">
      <c r="A87" s="1" t="s">
        <v>81</v>
      </c>
      <c r="B87" s="1"/>
      <c r="C87" s="9">
        <v>1</v>
      </c>
    </row>
    <row r="88" spans="1:3" x14ac:dyDescent="0.2">
      <c r="A88" s="1" t="s">
        <v>82</v>
      </c>
      <c r="C88" s="9">
        <v>1</v>
      </c>
    </row>
    <row r="89" spans="1:3" x14ac:dyDescent="0.2">
      <c r="A89" s="1" t="s">
        <v>83</v>
      </c>
      <c r="C89" s="9">
        <v>1</v>
      </c>
    </row>
    <row r="90" spans="1:3" x14ac:dyDescent="0.2">
      <c r="A90" s="1" t="s">
        <v>84</v>
      </c>
      <c r="C90" s="9">
        <v>1</v>
      </c>
    </row>
    <row r="91" spans="1:3" x14ac:dyDescent="0.2">
      <c r="A91" s="1" t="s">
        <v>85</v>
      </c>
      <c r="C91" s="9">
        <v>1</v>
      </c>
    </row>
    <row r="92" spans="1:3" x14ac:dyDescent="0.2">
      <c r="A92" s="1" t="s">
        <v>86</v>
      </c>
      <c r="C92" s="9">
        <v>1</v>
      </c>
    </row>
    <row r="93" spans="1:3" x14ac:dyDescent="0.2">
      <c r="A93" s="1" t="s">
        <v>87</v>
      </c>
      <c r="C93" s="9">
        <v>1</v>
      </c>
    </row>
    <row r="94" spans="1:3" x14ac:dyDescent="0.2">
      <c r="A94" s="1" t="s">
        <v>88</v>
      </c>
      <c r="C94" s="9">
        <v>1</v>
      </c>
    </row>
    <row r="95" spans="1:3" x14ac:dyDescent="0.2">
      <c r="A95" s="1" t="s">
        <v>89</v>
      </c>
      <c r="C95" s="9">
        <v>1</v>
      </c>
    </row>
    <row r="96" spans="1:3" x14ac:dyDescent="0.2">
      <c r="A96" s="1" t="s">
        <v>90</v>
      </c>
      <c r="C96" s="9">
        <v>1</v>
      </c>
    </row>
    <row r="97" spans="1:3" s="6" customFormat="1" ht="22" x14ac:dyDescent="0.3">
      <c r="A97" s="7" t="s">
        <v>91</v>
      </c>
      <c r="C97" s="10">
        <f>AVERAGE(C98:C101)</f>
        <v>0.1056</v>
      </c>
    </row>
    <row r="98" spans="1:3" x14ac:dyDescent="0.2">
      <c r="A98" s="1" t="s">
        <v>92</v>
      </c>
      <c r="C98" s="9">
        <v>0.1056</v>
      </c>
    </row>
    <row r="99" spans="1:3" x14ac:dyDescent="0.2">
      <c r="A99" s="1" t="s">
        <v>93</v>
      </c>
      <c r="C99" s="9">
        <v>0.1056</v>
      </c>
    </row>
    <row r="100" spans="1:3" x14ac:dyDescent="0.2">
      <c r="A100" s="1" t="s">
        <v>94</v>
      </c>
      <c r="C100" s="9">
        <v>0.1056</v>
      </c>
    </row>
    <row r="101" spans="1:3" x14ac:dyDescent="0.2">
      <c r="A101" s="1" t="s">
        <v>95</v>
      </c>
      <c r="C101" s="9">
        <v>0.1056</v>
      </c>
    </row>
    <row r="102" spans="1:3" s="6" customFormat="1" ht="22" x14ac:dyDescent="0.3">
      <c r="A102" s="7" t="s">
        <v>96</v>
      </c>
      <c r="C102" s="10">
        <f>AVERAGE(C103:C106)</f>
        <v>1</v>
      </c>
    </row>
    <row r="103" spans="1:3" x14ac:dyDescent="0.2">
      <c r="A103" s="1" t="s">
        <v>97</v>
      </c>
      <c r="C103" s="9">
        <v>1</v>
      </c>
    </row>
    <row r="104" spans="1:3" x14ac:dyDescent="0.2">
      <c r="A104" s="1" t="s">
        <v>98</v>
      </c>
      <c r="C104" s="9">
        <v>1</v>
      </c>
    </row>
    <row r="105" spans="1:3" x14ac:dyDescent="0.2">
      <c r="A105" s="1" t="s">
        <v>99</v>
      </c>
      <c r="C105" s="9">
        <v>1</v>
      </c>
    </row>
    <row r="106" spans="1:3" x14ac:dyDescent="0.2">
      <c r="A106" s="1" t="s">
        <v>100</v>
      </c>
      <c r="C106" s="9">
        <v>1</v>
      </c>
    </row>
    <row r="107" spans="1:3" s="6" customFormat="1" ht="22" x14ac:dyDescent="0.3">
      <c r="A107" s="7" t="s">
        <v>101</v>
      </c>
      <c r="C107" s="10">
        <f>AVERAGE(C108:C116)</f>
        <v>0.112</v>
      </c>
    </row>
    <row r="108" spans="1:3" x14ac:dyDescent="0.2">
      <c r="A108" s="1" t="s">
        <v>102</v>
      </c>
      <c r="C108" s="9">
        <v>0</v>
      </c>
    </row>
    <row r="109" spans="1:3" x14ac:dyDescent="0.2">
      <c r="A109" s="1" t="s">
        <v>103</v>
      </c>
      <c r="C109" s="9">
        <v>0.126</v>
      </c>
    </row>
    <row r="110" spans="1:3" x14ac:dyDescent="0.2">
      <c r="A110" s="1" t="s">
        <v>104</v>
      </c>
      <c r="C110" s="9">
        <v>0.126</v>
      </c>
    </row>
    <row r="111" spans="1:3" x14ac:dyDescent="0.2">
      <c r="A111" s="1" t="s">
        <v>105</v>
      </c>
      <c r="C111" s="9">
        <v>0.126</v>
      </c>
    </row>
    <row r="112" spans="1:3" x14ac:dyDescent="0.2">
      <c r="A112" s="1" t="s">
        <v>106</v>
      </c>
      <c r="C112" s="9">
        <v>0.126</v>
      </c>
    </row>
    <row r="113" spans="1:3" x14ac:dyDescent="0.2">
      <c r="A113" s="1" t="s">
        <v>107</v>
      </c>
      <c r="C113" s="9">
        <v>0.126</v>
      </c>
    </row>
    <row r="114" spans="1:3" x14ac:dyDescent="0.2">
      <c r="A114" s="1" t="s">
        <v>108</v>
      </c>
      <c r="C114" s="9">
        <v>0.126</v>
      </c>
    </row>
    <row r="115" spans="1:3" x14ac:dyDescent="0.2">
      <c r="A115" s="1" t="s">
        <v>109</v>
      </c>
      <c r="C115" s="9">
        <v>0.126</v>
      </c>
    </row>
    <row r="116" spans="1:3" x14ac:dyDescent="0.2">
      <c r="A116" s="1" t="s">
        <v>110</v>
      </c>
      <c r="C116" s="9">
        <v>0.126</v>
      </c>
    </row>
    <row r="117" spans="1:3" s="6" customFormat="1" ht="22" x14ac:dyDescent="0.3">
      <c r="A117" s="7" t="s">
        <v>111</v>
      </c>
      <c r="C117" s="10">
        <f>AVERAGE(C118:C123)</f>
        <v>6.8566666666666665E-2</v>
      </c>
    </row>
    <row r="118" spans="1:3" x14ac:dyDescent="0.2">
      <c r="A118" s="1" t="s">
        <v>112</v>
      </c>
      <c r="C118" s="9">
        <v>0</v>
      </c>
    </row>
    <row r="119" spans="1:3" x14ac:dyDescent="0.2">
      <c r="A119" s="1" t="s">
        <v>113</v>
      </c>
      <c r="C119" s="9">
        <v>0</v>
      </c>
    </row>
    <row r="120" spans="1:3" x14ac:dyDescent="0.2">
      <c r="A120" s="1" t="s">
        <v>114</v>
      </c>
      <c r="C120" s="9">
        <v>0</v>
      </c>
    </row>
    <row r="121" spans="1:3" x14ac:dyDescent="0.2">
      <c r="A121" s="1" t="s">
        <v>115</v>
      </c>
      <c r="C121" s="9">
        <v>0.20569999999999999</v>
      </c>
    </row>
    <row r="122" spans="1:3" x14ac:dyDescent="0.2">
      <c r="A122" s="1" t="s">
        <v>116</v>
      </c>
      <c r="C122" s="9">
        <v>0.20569999999999999</v>
      </c>
    </row>
    <row r="123" spans="1:3" x14ac:dyDescent="0.2">
      <c r="A123" s="1" t="s">
        <v>117</v>
      </c>
      <c r="C123" s="9">
        <v>0</v>
      </c>
    </row>
    <row r="124" spans="1:3" s="6" customFormat="1" ht="22" x14ac:dyDescent="0.3">
      <c r="A124" s="7" t="s">
        <v>118</v>
      </c>
      <c r="C124" s="10">
        <f>AVERAGE(C125:C129)</f>
        <v>5.2400000000000002E-2</v>
      </c>
    </row>
    <row r="125" spans="1:3" x14ac:dyDescent="0.2">
      <c r="A125" s="1" t="s">
        <v>119</v>
      </c>
      <c r="C125" s="9">
        <v>5.2400000000000002E-2</v>
      </c>
    </row>
    <row r="126" spans="1:3" x14ac:dyDescent="0.2">
      <c r="A126" s="1" t="s">
        <v>120</v>
      </c>
      <c r="C126" s="9">
        <v>5.2400000000000002E-2</v>
      </c>
    </row>
    <row r="127" spans="1:3" x14ac:dyDescent="0.2">
      <c r="A127" s="1" t="s">
        <v>121</v>
      </c>
      <c r="C127" s="9">
        <v>5.2400000000000002E-2</v>
      </c>
    </row>
    <row r="128" spans="1:3" x14ac:dyDescent="0.2">
      <c r="A128" s="1" t="s">
        <v>122</v>
      </c>
      <c r="C128" s="9">
        <v>5.2400000000000002E-2</v>
      </c>
    </row>
    <row r="129" spans="1:3" x14ac:dyDescent="0.2">
      <c r="A129" s="1" t="s">
        <v>123</v>
      </c>
      <c r="C129" s="9">
        <v>5.2400000000000002E-2</v>
      </c>
    </row>
    <row r="130" spans="1:3" s="6" customFormat="1" ht="22" x14ac:dyDescent="0.3">
      <c r="A130" s="7" t="s">
        <v>124</v>
      </c>
      <c r="C130" s="10">
        <f>AVERAGE(C131:C133)</f>
        <v>0</v>
      </c>
    </row>
    <row r="131" spans="1:3" x14ac:dyDescent="0.2">
      <c r="A131" s="1" t="s">
        <v>125</v>
      </c>
      <c r="C131" s="9">
        <v>0</v>
      </c>
    </row>
    <row r="132" spans="1:3" x14ac:dyDescent="0.2">
      <c r="A132" s="1" t="s">
        <v>126</v>
      </c>
      <c r="C132" s="9">
        <v>0</v>
      </c>
    </row>
    <row r="133" spans="1:3" x14ac:dyDescent="0.2">
      <c r="A133" s="1" t="s">
        <v>127</v>
      </c>
      <c r="C133" s="9">
        <v>0</v>
      </c>
    </row>
    <row r="134" spans="1:3" s="6" customFormat="1" ht="22" x14ac:dyDescent="0.3">
      <c r="A134" s="7" t="s">
        <v>128</v>
      </c>
      <c r="C134" s="10">
        <f>AVERAGE(C135:C136)</f>
        <v>6.8000000000000005E-3</v>
      </c>
    </row>
    <row r="135" spans="1:3" x14ac:dyDescent="0.2">
      <c r="A135" s="1" t="s">
        <v>134</v>
      </c>
      <c r="B135" t="s">
        <v>2</v>
      </c>
      <c r="C135" s="9">
        <v>6.8000000000000005E-3</v>
      </c>
    </row>
    <row r="136" spans="1:3" x14ac:dyDescent="0.2">
      <c r="A136" s="3" t="s">
        <v>133</v>
      </c>
      <c r="B136" t="s">
        <v>2</v>
      </c>
      <c r="C136" s="9">
        <v>6.8000000000000005E-3</v>
      </c>
    </row>
    <row r="137" spans="1:3" s="6" customFormat="1" ht="22" x14ac:dyDescent="0.3">
      <c r="A137" s="5" t="s">
        <v>129</v>
      </c>
      <c r="C137" s="10">
        <f>AVERAGE(C138:C139)</f>
        <v>6.0000000000000001E-3</v>
      </c>
    </row>
    <row r="138" spans="1:3" x14ac:dyDescent="0.2">
      <c r="A138" s="3" t="s">
        <v>131</v>
      </c>
      <c r="B138" t="s">
        <v>2</v>
      </c>
      <c r="C138" s="9">
        <v>6.0000000000000001E-3</v>
      </c>
    </row>
    <row r="139" spans="1:3" x14ac:dyDescent="0.2">
      <c r="A139" s="3" t="s">
        <v>132</v>
      </c>
      <c r="B139" t="s">
        <v>2</v>
      </c>
      <c r="C139" s="9">
        <v>6.0000000000000001E-3</v>
      </c>
    </row>
    <row r="140" spans="1:3" x14ac:dyDescent="0.2">
      <c r="C140" s="11"/>
    </row>
  </sheetData>
  <mergeCells count="1">
    <mergeCell ref="B38:B3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Auke Hilbrands</dc:creator>
  <cp:lastModifiedBy>Auke Hilbrands</cp:lastModifiedBy>
  <dcterms:created xsi:type="dcterms:W3CDTF">2026-04-23T11:41:34Z</dcterms:created>
  <dcterms:modified xsi:type="dcterms:W3CDTF">2026-04-30T09:12:55Z</dcterms:modified>
</cp:coreProperties>
</file>